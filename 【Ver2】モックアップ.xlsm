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no_\Downloads\"/>
    </mc:Choice>
  </mc:AlternateContent>
  <xr:revisionPtr revIDLastSave="0" documentId="13_ncr:1_{18C94423-8E64-4A30-BA9E-2816E4F8A3BE}" xr6:coauthVersionLast="47" xr6:coauthVersionMax="47" xr10:uidLastSave="{00000000-0000-0000-0000-000000000000}"/>
  <bookViews>
    <workbookView xWindow="-110" yWindow="-110" windowWidth="19420" windowHeight="10420" tabRatio="728" xr2:uid="{65B86CD5-D7A1-471D-AE73-CA71DA806360}"/>
  </bookViews>
  <sheets>
    <sheet name="Sheet1" sheetId="2" r:id="rId1"/>
    <sheet name="北海道" sheetId="3" r:id="rId2"/>
    <sheet name="東北" sheetId="4" r:id="rId3"/>
    <sheet name="中央" sheetId="5" r:id="rId4"/>
    <sheet name="北陸" sheetId="6" r:id="rId5"/>
    <sheet name="東海" sheetId="7" r:id="rId6"/>
    <sheet name="関西" sheetId="8" r:id="rId7"/>
    <sheet name="中国" sheetId="11" r:id="rId8"/>
    <sheet name="四国" sheetId="9" r:id="rId9"/>
    <sheet name="九州" sheetId="10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 a="1"/>
  <c r="G4" i="2" a="1"/>
  <c r="G15" i="2" a="1"/>
  <c r="G9" i="2" a="1"/>
  <c r="G12" i="2" a="1"/>
  <c r="G7" i="2" a="1"/>
  <c r="G3" i="2" a="1"/>
  <c r="G8" i="2" a="1"/>
  <c r="G10" i="2" a="1"/>
  <c r="G16" i="2" a="1"/>
  <c r="G11" i="2" a="1"/>
  <c r="G14" i="2" a="1"/>
  <c r="G14" i="2" l="1"/>
  <c r="G11" i="2"/>
  <c r="G16" i="2"/>
  <c r="G10" i="2"/>
  <c r="G8" i="2"/>
  <c r="G3" i="2"/>
  <c r="G7" i="2"/>
  <c r="G12" i="2"/>
  <c r="G9" i="2"/>
  <c r="G15" i="2"/>
  <c r="G4" i="2"/>
  <c r="G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<sst xmlns="http://schemas.openxmlformats.org/spreadsheetml/2006/main" count="60" uniqueCount="27">
  <si>
    <t>SARF ID</t>
    <phoneticPr fontId="1"/>
  </si>
  <si>
    <t>B</t>
    <phoneticPr fontId="1"/>
  </si>
  <si>
    <t>A</t>
    <phoneticPr fontId="1"/>
  </si>
  <si>
    <t>緯度経度</t>
    <rPh sb="0" eb="2">
      <t>イド</t>
    </rPh>
    <rPh sb="2" eb="4">
      <t>ケイド</t>
    </rPh>
    <phoneticPr fontId="1"/>
  </si>
  <si>
    <t>C</t>
    <phoneticPr fontId="1"/>
  </si>
  <si>
    <t>都道府県</t>
    <rPh sb="0" eb="4">
      <t>トドウフケン</t>
    </rPh>
    <phoneticPr fontId="1"/>
  </si>
  <si>
    <t>F</t>
    <phoneticPr fontId="1"/>
  </si>
  <si>
    <t>対策施設ID</t>
    <phoneticPr fontId="1"/>
  </si>
  <si>
    <t>緯度</t>
    <rPh sb="0" eb="2">
      <t>イド</t>
    </rPh>
    <phoneticPr fontId="1"/>
  </si>
  <si>
    <t>J</t>
    <phoneticPr fontId="1"/>
  </si>
  <si>
    <t>経度</t>
    <rPh sb="0" eb="2">
      <t>ケイド</t>
    </rPh>
    <phoneticPr fontId="1"/>
  </si>
  <si>
    <t>K</t>
    <phoneticPr fontId="1"/>
  </si>
  <si>
    <t>トンネル長</t>
    <rPh sb="4" eb="5">
      <t>チョウ</t>
    </rPh>
    <phoneticPr fontId="1"/>
  </si>
  <si>
    <t>L</t>
    <phoneticPr fontId="1"/>
  </si>
  <si>
    <t>地域</t>
    <rPh sb="0" eb="2">
      <t>チイキ</t>
    </rPh>
    <phoneticPr fontId="1"/>
  </si>
  <si>
    <t>H</t>
    <phoneticPr fontId="1"/>
  </si>
  <si>
    <t>Macro情報.xls</t>
    <phoneticPr fontId="1"/>
  </si>
  <si>
    <t>【道路トンネル】周辺局情報.xlsb</t>
  </si>
  <si>
    <t>モックアップ.xlsm</t>
  </si>
  <si>
    <t>距離</t>
    <rPh sb="0" eb="2">
      <t>キョリ</t>
    </rPh>
    <phoneticPr fontId="1"/>
  </si>
  <si>
    <t>C:\Users\nino_\Downloads\Tunnel-main\Tunnel-main</t>
    <phoneticPr fontId="1"/>
  </si>
  <si>
    <t>Macro情報</t>
  </si>
  <si>
    <t>【計画対象】1183件</t>
    <phoneticPr fontId="1"/>
  </si>
  <si>
    <t>シート</t>
    <phoneticPr fontId="1"/>
  </si>
  <si>
    <t>最終行</t>
    <rPh sb="0" eb="3">
      <t>サイシュウギョウ</t>
    </rPh>
    <phoneticPr fontId="1"/>
  </si>
  <si>
    <t>配列</t>
    <rPh sb="0" eb="2">
      <t>ハイレツ</t>
    </rPh>
    <phoneticPr fontId="1"/>
  </si>
  <si>
    <t>距離(km)</t>
    <rPh sb="0" eb="2">
      <t>キョリ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</si>
</sst>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279400</xdr:colOff>
          <xdr:row>1</xdr:row>
          <xdr:rowOff>12700</xdr:rowOff>
        </xdr:from>
        <xdr:to>
          <xdr:col>2</xdr:col>
          <xdr:colOff>266700</xdr:colOff>
          <xdr:row>3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298450</xdr:colOff>
          <xdr:row>4</xdr:row>
          <xdr:rowOff>203200</xdr:rowOff>
        </xdr:from>
        <xdr:to>
          <xdr:col>2</xdr:col>
          <xdr:colOff>266700</xdr:colOff>
          <xdr:row>7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ED711-2EC7-49D6-9946-95C477ABC3B5}">
  <sheetPr codeName="Sheet2"/>
  <dimension ref="D1:G16"/>
  <sheetViews>
    <sheetView tabSelected="1" workbookViewId="0"/>
  </sheetViews>
  <sheetFormatPr defaultRowHeight="18" x14ac:dyDescent="0.55000000000000004"/>
  <cols>
    <col min="4" max="4" width="9.33203125" bestFit="1" customWidth="1"/>
  </cols>
  <sheetData>
    <row r="1" spans="4:7" x14ac:dyDescent="0.55000000000000004">
      <c r="D1" t="s">
        <v>20</v>
      </c>
      <c r="E1" t="s">
        <v>23</v>
      </c>
      <c r="F1" t="s">
        <v>24</v>
      </c>
      <c r="G1" t="s">
        <v>25</v>
      </c>
    </row>
    <row r="2" spans="4:7" x14ac:dyDescent="0.55000000000000004">
      <c r="D2" t="s">
        <v>16</v>
      </c>
      <c r="E2" t="s">
        <v>21</v>
      </c>
      <c r="F2">
        <v>39918</v>
      </c>
      <c r="G2">
        <v>4</v>
      </c>
    </row>
    <row r="3" spans="4:7" x14ac:dyDescent="0.55000000000000004">
      <c r="E3" t="s">
        <v>0</v>
      </c>
      <c r="F3" t="s">
        <v>2</v>
      </c>
      <c r="G3" cm="1">
        <f t="array" aca="1" ref="G3" ca="1">COLUMN(INDIRECT(F3&amp;"1"))</f>
        <v>1</v>
      </c>
    </row>
    <row r="4" spans="4:7" x14ac:dyDescent="0.55000000000000004">
      <c r="E4" t="s">
        <v>3</v>
      </c>
      <c r="F4" t="s">
        <v>4</v>
      </c>
      <c r="G4" cm="1">
        <f t="array" aca="1" ref="G4" ca="1">COLUMN(INDIRECT(F4&amp;"1"))</f>
        <v>3</v>
      </c>
    </row>
    <row r="5" spans="4:7" x14ac:dyDescent="0.55000000000000004">
      <c r="E5" t="s">
        <v>5</v>
      </c>
      <c r="F5" t="s">
        <v>6</v>
      </c>
      <c r="G5" cm="1">
        <f t="array" aca="1" ref="G5" ca="1">COLUMN(INDIRECT(F5&amp;"1"))</f>
        <v>6</v>
      </c>
    </row>
    <row r="6" spans="4:7" x14ac:dyDescent="0.55000000000000004">
      <c r="D6" t="s">
        <v>17</v>
      </c>
      <c r="E6" t="s">
        <v>22</v>
      </c>
      <c r="F6">
        <v>1184</v>
      </c>
      <c r="G6">
        <v>6</v>
      </c>
    </row>
    <row r="7" spans="4:7" ht="17.25" customHeight="1" x14ac:dyDescent="0.55000000000000004">
      <c r="E7" t="s">
        <v>7</v>
      </c>
      <c r="F7" t="s">
        <v>2</v>
      </c>
      <c r="G7" cm="1">
        <f t="array" aca="1" ref="G7" ca="1">COLUMN(INDIRECT(F7&amp;"1"))</f>
        <v>1</v>
      </c>
    </row>
    <row r="8" spans="4:7" x14ac:dyDescent="0.55000000000000004">
      <c r="E8" t="s">
        <v>5</v>
      </c>
      <c r="F8" t="s">
        <v>4</v>
      </c>
      <c r="G8" cm="1">
        <f t="array" aca="1" ref="G8" ca="1">COLUMN(INDIRECT(F8&amp;"1"))</f>
        <v>3</v>
      </c>
    </row>
    <row r="9" spans="4:7" x14ac:dyDescent="0.55000000000000004">
      <c r="E9" t="s">
        <v>14</v>
      </c>
      <c r="F9" t="s">
        <v>15</v>
      </c>
      <c r="G9" cm="1">
        <f t="array" aca="1" ref="G9" ca="1">COLUMN(INDIRECT(F9&amp;"1"))</f>
        <v>8</v>
      </c>
    </row>
    <row r="10" spans="4:7" x14ac:dyDescent="0.55000000000000004">
      <c r="E10" t="s">
        <v>8</v>
      </c>
      <c r="F10" t="s">
        <v>9</v>
      </c>
      <c r="G10" cm="1">
        <f t="array" aca="1" ref="G10" ca="1">COLUMN(INDIRECT(F10&amp;"1"))</f>
        <v>10</v>
      </c>
    </row>
    <row r="11" spans="4:7" x14ac:dyDescent="0.55000000000000004">
      <c r="E11" t="s">
        <v>10</v>
      </c>
      <c r="F11" t="s">
        <v>11</v>
      </c>
      <c r="G11" cm="1">
        <f t="array" aca="1" ref="G11" ca="1">COLUMN(INDIRECT(F11&amp;"1"))</f>
        <v>11</v>
      </c>
    </row>
    <row r="12" spans="4:7" x14ac:dyDescent="0.55000000000000004">
      <c r="E12" t="s">
        <v>12</v>
      </c>
      <c r="F12" t="s">
        <v>13</v>
      </c>
      <c r="G12" cm="1">
        <f t="array" aca="1" ref="G12" ca="1">COLUMN(INDIRECT(F12&amp;"1"))</f>
        <v>12</v>
      </c>
    </row>
    <row r="13" spans="4:7" x14ac:dyDescent="0.55000000000000004">
      <c r="D13" t="s">
        <v>18</v>
      </c>
      <c r="G13">
        <v>3</v>
      </c>
    </row>
    <row r="14" spans="4:7" x14ac:dyDescent="0.55000000000000004">
      <c r="E14" t="s">
        <v>7</v>
      </c>
      <c r="F14" t="s">
        <v>2</v>
      </c>
      <c r="G14" cm="1">
        <f t="array" aca="1" ref="G14" ca="1">COLUMN(INDIRECT(F14&amp;"1"))</f>
        <v>1</v>
      </c>
    </row>
    <row r="15" spans="4:7" x14ac:dyDescent="0.55000000000000004">
      <c r="E15" t="s">
        <v>0</v>
      </c>
      <c r="F15" t="s">
        <v>1</v>
      </c>
      <c r="G15" cm="1">
        <f t="array" aca="1" ref="G15" ca="1">COLUMN(INDIRECT(F15&amp;"1"))</f>
        <v>2</v>
      </c>
    </row>
    <row r="16" spans="4:7" x14ac:dyDescent="0.55000000000000004">
      <c r="E16" t="s">
        <v>19</v>
      </c>
      <c r="F16" t="s">
        <v>4</v>
      </c>
      <c r="G16" cm="1">
        <f t="array" aca="1" ref="G16" ca="1">COLUMN(INDIRECT(F16&amp;"1"))</f>
        <v>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279400</xdr:colOff>
                    <xdr:row>1</xdr:row>
                    <xdr:rowOff>12700</xdr:rowOff>
                  </from>
                  <to>
                    <xdr:col>2</xdr:col>
                    <xdr:colOff>266700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298450</xdr:colOff>
                    <xdr:row>4</xdr:row>
                    <xdr:rowOff>203200</xdr:rowOff>
                  </from>
                  <to>
                    <xdr:col>2</xdr:col>
                    <xdr:colOff>266700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A67D0-7D1E-4F32-A300-0124F27B67FE}">
  <sheetPr codeName="Sheet3"/>
  <dimension ref="A1:C1"/>
  <sheetViews>
    <sheetView workbookViewId="0">
      <selection activeCell="B21" sqref="B21"/>
    </sheetView>
  </sheetViews>
  <sheetFormatPr defaultRowHeight="18" x14ac:dyDescent="0.55000000000000004"/>
  <cols>
    <col min="1" max="1" width="10.4140625" bestFit="1" customWidth="1"/>
    <col min="2" max="2" width="14.83203125" bestFit="1" customWidth="1"/>
  </cols>
  <sheetData>
    <row r="1" spans="1:3" x14ac:dyDescent="0.55000000000000004">
      <c r="A1" t="s">
        <v>7</v>
      </c>
      <c r="B1" t="s">
        <v>0</v>
      </c>
      <c r="C1" t="s">
        <v>26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5B3E6-8DF6-4666-9957-A9ED695FF4DC}">
  <sheetPr codeName="Sheet4"/>
  <dimension ref="A1:C1"/>
  <sheetViews>
    <sheetView workbookViewId="0">
      <selection activeCell="D21" sqref="D21"/>
    </sheetView>
  </sheetViews>
  <sheetFormatPr defaultRowHeight="18" x14ac:dyDescent="0.55000000000000004"/>
  <sheetData>
    <row r="1" spans="1:3" x14ac:dyDescent="0.55000000000000004">
      <c r="A1" t="s">
        <v>7</v>
      </c>
      <c r="B1" t="s">
        <v>0</v>
      </c>
      <c r="C1" t="s">
        <v>26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E80F-F6EC-47C6-9F46-4C8AE0927A64}">
  <sheetPr codeName="Sheet5"/>
  <dimension ref="A1:C1"/>
  <sheetViews>
    <sheetView workbookViewId="0"/>
  </sheetViews>
  <sheetFormatPr defaultRowHeight="18" x14ac:dyDescent="0.55000000000000004"/>
  <sheetData>
    <row r="1" spans="1:3" x14ac:dyDescent="0.55000000000000004">
      <c r="A1" t="s">
        <v>7</v>
      </c>
      <c r="B1" t="s">
        <v>0</v>
      </c>
      <c r="C1" t="s">
        <v>26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DCC5-06E0-4C5E-A11A-575184D26100}">
  <sheetPr codeName="Sheet6"/>
  <dimension ref="A1:C1"/>
  <sheetViews>
    <sheetView workbookViewId="0"/>
  </sheetViews>
  <sheetFormatPr defaultRowHeight="18" x14ac:dyDescent="0.55000000000000004"/>
  <sheetData>
    <row r="1" spans="1:3" x14ac:dyDescent="0.55000000000000004">
      <c r="A1" t="s">
        <v>7</v>
      </c>
      <c r="B1" t="s">
        <v>0</v>
      </c>
      <c r="C1" t="s">
        <v>26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0054D-39E1-424A-A383-22467C5510B8}">
  <sheetPr codeName="Sheet7"/>
  <dimension ref="A1:C1"/>
  <sheetViews>
    <sheetView workbookViewId="0"/>
  </sheetViews>
  <sheetFormatPr defaultRowHeight="18" x14ac:dyDescent="0.55000000000000004"/>
  <sheetData>
    <row r="1" spans="1:3" x14ac:dyDescent="0.55000000000000004">
      <c r="A1" t="s">
        <v>7</v>
      </c>
      <c r="B1" t="s">
        <v>0</v>
      </c>
      <c r="C1" t="s">
        <v>26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DCB0A-8693-4AEB-8E17-BEBE3723B42B}">
  <sheetPr codeName="Sheet8"/>
  <dimension ref="A1:C1"/>
  <sheetViews>
    <sheetView workbookViewId="0"/>
  </sheetViews>
  <sheetFormatPr defaultRowHeight="18" x14ac:dyDescent="0.55000000000000004"/>
  <sheetData>
    <row r="1" spans="1:3" x14ac:dyDescent="0.55000000000000004">
      <c r="A1" t="s">
        <v>7</v>
      </c>
      <c r="B1" t="s">
        <v>0</v>
      </c>
      <c r="C1" t="s">
        <v>26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9D25A-68BF-4973-B379-55DF0B8B5D62}">
  <sheetPr codeName="Sheet11"/>
  <dimension ref="A1:C1"/>
  <sheetViews>
    <sheetView workbookViewId="0"/>
  </sheetViews>
  <sheetFormatPr defaultRowHeight="18" x14ac:dyDescent="0.55000000000000004"/>
  <sheetData>
    <row r="1" spans="1:3" x14ac:dyDescent="0.55000000000000004">
      <c r="A1" t="s">
        <v>7</v>
      </c>
      <c r="B1" t="s">
        <v>0</v>
      </c>
      <c r="C1" t="s">
        <v>26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7ED39-0BCB-4856-9A16-626970854FBC}">
  <sheetPr codeName="Sheet9"/>
  <dimension ref="A1:C1"/>
  <sheetViews>
    <sheetView workbookViewId="0"/>
  </sheetViews>
  <sheetFormatPr defaultRowHeight="18" x14ac:dyDescent="0.55000000000000004"/>
  <sheetData>
    <row r="1" spans="1:3" x14ac:dyDescent="0.55000000000000004">
      <c r="A1" t="s">
        <v>7</v>
      </c>
      <c r="B1" t="s">
        <v>0</v>
      </c>
      <c r="C1" t="s">
        <v>26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CB7B-07BC-4BFE-85B9-2799CF5EC5C3}">
  <sheetPr codeName="Sheet10"/>
  <dimension ref="A1:C1"/>
  <sheetViews>
    <sheetView workbookViewId="0"/>
  </sheetViews>
  <sheetFormatPr defaultRowHeight="18" x14ac:dyDescent="0.55000000000000004"/>
  <sheetData>
    <row r="1" spans="1:3" x14ac:dyDescent="0.55000000000000004">
      <c r="A1" t="s">
        <v>7</v>
      </c>
      <c r="B1" t="s">
        <v>0</v>
      </c>
      <c r="C1" t="s">
        <v>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北海道</vt:lpstr>
      <vt:lpstr>東北</vt:lpstr>
      <vt:lpstr>中央</vt:lpstr>
      <vt:lpstr>北陸</vt:lpstr>
      <vt:lpstr>東海</vt:lpstr>
      <vt:lpstr>関西</vt:lpstr>
      <vt:lpstr>中国</vt:lpstr>
      <vt:lpstr>四国</vt:lpstr>
      <vt:lpstr>九州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Sekiguchi, Natsuo | RMI</dc:creator>
  <cp:lastModifiedBy>Natsu</cp:lastModifiedBy>
  <dcterms:created xsi:type="dcterms:W3CDTF">2022-04-12T06:31:12Z</dcterms:created>
  <dcterms:modified xsi:type="dcterms:W3CDTF">2022-04-12T15:49:23Z</dcterms:modified>
</cp:coreProperties>
</file>